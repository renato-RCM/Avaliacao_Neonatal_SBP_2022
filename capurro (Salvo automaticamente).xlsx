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rv-fs\LIVRO_VIRTUAL_CPSS\"/>
    </mc:Choice>
  </mc:AlternateContent>
  <bookViews>
    <workbookView xWindow="0" yWindow="0" windowWidth="20400" windowHeight="8655" firstSheet="1" activeTab="1"/>
  </bookViews>
  <sheets>
    <sheet name="CAPURRO" sheetId="1" state="hidden" r:id="rId1"/>
    <sheet name="CÁLCULO" sheetId="2" r:id="rId2"/>
    <sheet name="Plan2" sheetId="4" r:id="rId3"/>
    <sheet name="Plan1" sheetId="3" state="hidden" r:id="rId4"/>
  </sheets>
  <definedNames>
    <definedName name="A">CÁLCULO!$H$2:$H$5</definedName>
    <definedName name="B">CÁLCULO!$K$2:$K$6</definedName>
    <definedName name="Cab">CÁLCULO!$N$2:$N$5</definedName>
    <definedName name="D">CÁLCULO!$Q$2:$Q$5</definedName>
    <definedName name="E">CÁLCULO!$T$2:$T$6</definedName>
    <definedName name="F">CÁLCULO!$W$2:$W$5</definedName>
    <definedName name="G">CÁLCULO!$Z$2:$Z$5</definedName>
  </definedNames>
  <calcPr calcId="162913"/>
</workbook>
</file>

<file path=xl/calcChain.xml><?xml version="1.0" encoding="utf-8"?>
<calcChain xmlns="http://schemas.openxmlformats.org/spreadsheetml/2006/main">
  <c r="I1" i="2" l="1"/>
  <c r="M20" i="2" l="1"/>
  <c r="AA1" i="2" l="1"/>
  <c r="X1" i="2"/>
  <c r="R1" i="2"/>
  <c r="O1" i="2"/>
  <c r="L1" i="2"/>
  <c r="M18" i="2" l="1"/>
  <c r="M16" i="2"/>
  <c r="M14" i="2"/>
  <c r="M12" i="2"/>
  <c r="L9" i="2" l="1"/>
  <c r="Q20" i="2" s="1"/>
  <c r="O16" i="2" s="1"/>
  <c r="Q19" i="2" s="1"/>
  <c r="S16" i="2" s="1"/>
</calcChain>
</file>

<file path=xl/sharedStrings.xml><?xml version="1.0" encoding="utf-8"?>
<sst xmlns="http://schemas.openxmlformats.org/spreadsheetml/2006/main" count="240" uniqueCount="142">
  <si>
    <t xml:space="preserve"> grossa, rugas superficiais, descamação nas mãos e pés 20 </t>
  </si>
  <si>
    <t xml:space="preserve"> grossa, apergaminhada, com rugas profundas. </t>
  </si>
  <si>
    <t xml:space="preserve"> pavilhão totalmente encurvado. </t>
  </si>
  <si>
    <t xml:space="preserve"> maior de 10 mm.</t>
  </si>
  <si>
    <t xml:space="preserve"> sulcos na metade anterior da planta. 20 </t>
  </si>
  <si>
    <t xml:space="preserve"> sulcos em mais da metade anterior da planta. </t>
  </si>
  <si>
    <t xml:space="preserve"> o cotovelo situado entre a linha média e a linha axilar anterior do mesmo lado Posição da cabeça ao levantar o rn 0 </t>
  </si>
  <si>
    <t xml:space="preserve"> cabeça totalmente deflexionada, ângulo torácico 270º. 4 </t>
  </si>
  <si>
    <t xml:space="preserve"> ângulo cervicotorácico entre 180 e 270º. 8 </t>
  </si>
  <si>
    <t xml:space="preserve"> ângulo cervicotorácico igual 180º. 12 </t>
  </si>
  <si>
    <t xml:space="preserve"> ângulo cervicotorácico menor que 180º. </t>
  </si>
  <si>
    <t xml:space="preserve"> borda elevada, diâmetro maior que 75 mm. </t>
  </si>
  <si>
    <t>Textura da pele</t>
  </si>
  <si>
    <t xml:space="preserve"> Capurro somático: soma dos itens A+B+C+D+G+204 =  idade gestacional em dias.</t>
  </si>
  <si>
    <t xml:space="preserve">Capurro somático - neurológico: soma dos itens A+B+C+D+E+F+200 =  IDADE GESTACIONAL EM DIAS Desvio padrão de 8,4 dias. </t>
  </si>
  <si>
    <t>Forma da orelha</t>
  </si>
  <si>
    <t>Glândula mamária</t>
  </si>
  <si>
    <t>Pregas plantares</t>
  </si>
  <si>
    <t>Sinal do xale</t>
  </si>
  <si>
    <t>Formação do mamilo</t>
  </si>
  <si>
    <t xml:space="preserve"> muito fina, gelatinosa </t>
  </si>
  <si>
    <t xml:space="preserve"> chata, disforme, pavilhão não encurvado</t>
  </si>
  <si>
    <t xml:space="preserve"> não palpável </t>
  </si>
  <si>
    <t xml:space="preserve"> sem pregas</t>
  </si>
  <si>
    <t xml:space="preserve"> o cotovelo alcança a linha axilar anterior do lado oposto</t>
  </si>
  <si>
    <t xml:space="preserve"> apenas visível</t>
  </si>
  <si>
    <t xml:space="preserve"> fina e lisa</t>
  </si>
  <si>
    <t xml:space="preserve"> pavilhão parcialmente encurvado na borda</t>
  </si>
  <si>
    <t xml:space="preserve"> palpável, menor de 5 mm</t>
  </si>
  <si>
    <t xml:space="preserve"> marcas mal definidas sobre a parte anterior</t>
  </si>
  <si>
    <t xml:space="preserve"> o cotovelo situado entre a linha anterior do lado oposto e a linha média</t>
  </si>
  <si>
    <t xml:space="preserve"> aréola pigmentada, diâmetro menor que 75 mm</t>
  </si>
  <si>
    <t xml:space="preserve"> algo mais grossa, discreta descamação superficial</t>
  </si>
  <si>
    <t xml:space="preserve"> pavilhão parcialmente encurvado em toda parte superior</t>
  </si>
  <si>
    <t xml:space="preserve"> entre 5 e 10 mm</t>
  </si>
  <si>
    <t xml:space="preserve"> marcas bem definidas sobre a metade anterior e sulcos no terço anterior </t>
  </si>
  <si>
    <t xml:space="preserve"> o cotovelo situado ao nível da linha média</t>
  </si>
  <si>
    <t xml:space="preserve"> aréola pigmentada, pontiaguda, diâmetro menor que 75 mm, borda não elevada</t>
  </si>
  <si>
    <t>A - Formação do mamilo</t>
  </si>
  <si>
    <t>Mamilo pouco visível, sem aréola.</t>
  </si>
  <si>
    <t>Mamilo Nítido, aréola lisa, diâmetro &lt; 0,75 cm</t>
  </si>
  <si>
    <t>Mamilo puntiforme, aréola de borda não elevada, diâmetro &gt; 0,75 cm.</t>
  </si>
  <si>
    <t>Mamilo puntiforme, aréola de borda elevada, diâmetro maior a 0,75 cm.</t>
  </si>
  <si>
    <t>B – Textura da pele</t>
  </si>
  <si>
    <t>Fina, gelatinosa.</t>
  </si>
  <si>
    <t>Fina e lisa.</t>
  </si>
  <si>
    <t>Algo mais grossa, com discreta descamação superficial.</t>
  </si>
  <si>
    <t>Grossa, com sulcos superficiais, descamação de mãos e pés.</t>
  </si>
  <si>
    <t>Grossa, apergaminhada com sulcos profundos.</t>
  </si>
  <si>
    <t>C – Forma da orelha</t>
  </si>
  <si>
    <t>Chata, disforme, pavilhão não encurvado.</t>
  </si>
  <si>
    <t>Pavilhão parcialmente encurvado na borda.</t>
  </si>
  <si>
    <t>Pavilhão parcialmente encurvado em toda borda superior.</t>
  </si>
  <si>
    <t>Pavilhão totalmente encurvado.</t>
  </si>
  <si>
    <t>D – Tamanho da glândula mamaria</t>
  </si>
  <si>
    <t>Ausencia de tecido mamário.</t>
  </si>
  <si>
    <t>Diametro &lt; 5mm.</t>
  </si>
  <si>
    <t>Diametro entre 5 a 10mm.</t>
  </si>
  <si>
    <t>Diametro &gt; 10mm.</t>
  </si>
  <si>
    <t>E - Sulcos plantares</t>
  </si>
  <si>
    <t>Ausentes.</t>
  </si>
  <si>
    <t>Marcas mal definidas na metade anterior da planta.</t>
  </si>
  <si>
    <t>Marcas bem definidas na metade anterior e no terço anterior.</t>
  </si>
  <si>
    <t>Sulcos na metade anterior da planta.</t>
  </si>
  <si>
    <t>Sulcos em mais da metade anterior da planta.</t>
  </si>
  <si>
    <t>F - Sinal do Xale (posição do cotovelo)</t>
  </si>
  <si>
    <t>Na linha axilar do lado oposto.</t>
  </si>
  <si>
    <t>Entre a linha axilar anterior do lado oposto a linha média.</t>
  </si>
  <si>
    <t>Ao nível da linha média.</t>
  </si>
  <si>
    <t>Entre a linha média e a linha axilar anterior do mesmo lado.</t>
  </si>
  <si>
    <t>G - Posição da cabeça ao levantar o RN (ângulo cervico-toráxico.</t>
  </si>
  <si>
    <t>Totalmente deflexionada Â = 270°</t>
  </si>
  <si>
    <t>Â entre 180 – 270°</t>
  </si>
  <si>
    <t>Â = 180°</t>
  </si>
  <si>
    <t>Â &lt; 180°</t>
  </si>
  <si>
    <t>Para definir a idade gestacional pelo método de Capurro, devemos somar os pontos.</t>
  </si>
  <si>
    <r>
      <t>a)</t>
    </r>
    <r>
      <rPr>
        <sz val="7"/>
        <color rgb="FF444444"/>
        <rFont val="Times New Roman"/>
        <family val="1"/>
      </rPr>
      <t>      </t>
    </r>
    <r>
      <rPr>
        <sz val="10"/>
        <color rgb="FF444444"/>
        <rFont val="Calibri"/>
        <family val="2"/>
        <scheme val="minor"/>
      </rPr>
      <t>Somático: Somatório dos pontos em A, B, C, D, E + 204 /7.</t>
    </r>
  </si>
  <si>
    <r>
      <t>b)</t>
    </r>
    <r>
      <rPr>
        <sz val="7"/>
        <color rgb="FF444444"/>
        <rFont val="Times New Roman"/>
        <family val="1"/>
      </rPr>
      <t>      </t>
    </r>
    <r>
      <rPr>
        <sz val="10"/>
        <color rgb="FF444444"/>
        <rFont val="Calibri"/>
        <family val="2"/>
        <scheme val="minor"/>
      </rPr>
      <t>Somático neurológico: Somatória dos pontos em B, C, D, E, F, G + 200 / 7</t>
    </r>
  </si>
  <si>
    <t>Resultado em semanas.</t>
  </si>
  <si>
    <t>Para recém nascidos com peso de nascimento abaixo de 1500g, utiliza-se o método de Ballard e Cl. Modificado por Constantine e Cl.</t>
  </si>
  <si>
    <t>G</t>
  </si>
  <si>
    <t>A</t>
  </si>
  <si>
    <t>B</t>
  </si>
  <si>
    <t>C</t>
  </si>
  <si>
    <t>D</t>
  </si>
  <si>
    <t>E</t>
  </si>
  <si>
    <t>F</t>
  </si>
  <si>
    <t>GRUPO</t>
  </si>
  <si>
    <t>CARACTERISTICAS</t>
  </si>
  <si>
    <t>PONTOS</t>
  </si>
  <si>
    <t>G - Posição da cabeça ao levantar o RN (ângulo cervico-toráxico).</t>
  </si>
  <si>
    <t>dias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</si>
  <si>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</si>
  <si>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</si>
  <si>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</si>
  <si>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</si>
  <si>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</si>
  <si>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</si>
  <si>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</si>
  <si>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</si>
  <si>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</si>
  <si>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</si>
  <si>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</si>
  <si>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</si>
  <si>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</si>
  <si>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</si>
  <si>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</si>
  <si>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</si>
  <si>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</si>
  <si>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</si>
  <si>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</si>
  <si>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</si>
  <si>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</si>
  <si>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E5</t>
  </si>
  <si>
    <t>Semanas</t>
  </si>
  <si>
    <t>Dias</t>
  </si>
  <si>
    <t>Resultado para lançar no LIVRO VIRTUAL</t>
  </si>
  <si>
    <t>CÁLCULO DO CAPURRO</t>
  </si>
  <si>
    <t>CASA DE PARTO DE SÃO SEBASTIÃO</t>
  </si>
  <si>
    <t>A1 Mamilo pouco visível, sem aréola.</t>
  </si>
  <si>
    <t>A2 Mamilo Nítido, aréola lisa, diâmetro &lt; 0,75 cm</t>
  </si>
  <si>
    <t>A3 Mamilo puntiforme, aréola de borda não elevada, diâmetro &gt; 0,75 cm.</t>
  </si>
  <si>
    <t>A4 Mamilo puntiforme, aréola de borda elevada, diâmetro maior a 0,75 cm.</t>
  </si>
  <si>
    <t>B1 Fina, gelatinosa.</t>
  </si>
  <si>
    <t>B2 Fina e lisa.</t>
  </si>
  <si>
    <t>B3 Algo mais grossa, com discreta descamação superficial.</t>
  </si>
  <si>
    <t>B4 Grossa, com sulcos superficiais, descamação de mãos e pés.</t>
  </si>
  <si>
    <t>B5 Grossa, apergaminhada com sulcos profundos.</t>
  </si>
  <si>
    <t>C1 Chata, disforme, pavilhão não encurvado.</t>
  </si>
  <si>
    <t>C2 Pavilhão parcialmente encurvado na borda.</t>
  </si>
  <si>
    <t>C3 Pavilhão parcialmente encurvado em toda borda superior.</t>
  </si>
  <si>
    <t>C4 Pavilhão totalmente encurvado.</t>
  </si>
  <si>
    <t>D1 Ausencia de tecido mamário.</t>
  </si>
  <si>
    <t>D2 Diametro &lt; 5mm.</t>
  </si>
  <si>
    <t>D3 Diametro entre 5 a 10mm.</t>
  </si>
  <si>
    <t>D4 Diametro &gt; 10mm.</t>
  </si>
  <si>
    <t>E1 Ausentes.</t>
  </si>
  <si>
    <t>E2 Marcas mal definidas na metade anterior da planta.</t>
  </si>
  <si>
    <t>E3 Marcas bem definidas na metade anterior e no terço anterior.</t>
  </si>
  <si>
    <t>E4 Sulcos na metade anterior da planta.</t>
  </si>
  <si>
    <t>E5 Sulcos em mais da metade anterior da planta.</t>
  </si>
  <si>
    <t>A2 Mamilo nítido, aréola lisa, diâmetro &lt; 0,75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</si>
</sst>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44444"/>
      <name val="Calibri"/>
      <family val="2"/>
      <scheme val="minor"/>
    </font>
    <font>
      <sz val="7"/>
      <color rgb="FF444444"/>
      <name val="Times New Roman"/>
      <family val="1"/>
    </font>
    <font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u/>
      <sz val="26"/>
      <color theme="1"/>
      <name val="Times New Roman"/>
      <family val="1"/>
    </font>
    <font>
      <b/>
      <u/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A72D4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5">
    <xf numFmtId="0" fontId="0" fillId="0" borderId="0" xfId="0"/>
    <xf numFmtId="0" fontId="0" fillId="0" borderId="0" xfId="0" quotePrefix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18" fillId="33" borderId="12" xfId="0" applyFont="1" applyFill="1" applyBorder="1" applyAlignment="1">
      <alignment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0" fillId="33" borderId="15" xfId="0" applyFill="1" applyBorder="1" applyAlignment="1">
      <alignment vertical="top" wrapText="1"/>
    </xf>
    <xf numFmtId="0" fontId="0" fillId="33" borderId="17" xfId="0" applyFill="1" applyBorder="1" applyAlignment="1">
      <alignment vertical="top" wrapText="1"/>
    </xf>
    <xf numFmtId="0" fontId="0" fillId="33" borderId="19" xfId="0" applyFill="1" applyBorder="1" applyAlignment="1">
      <alignment vertical="top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 indent="5"/>
    </xf>
    <xf numFmtId="0" fontId="18" fillId="0" borderId="0" xfId="0" applyFont="1" applyAlignment="1">
      <alignment horizontal="left" vertical="center" wrapText="1" indent="2"/>
    </xf>
    <xf numFmtId="0" fontId="18" fillId="33" borderId="20" xfId="0" applyFont="1" applyFill="1" applyBorder="1" applyAlignment="1">
      <alignment vertical="center" wrapText="1"/>
    </xf>
    <xf numFmtId="0" fontId="18" fillId="33" borderId="21" xfId="0" applyFont="1" applyFill="1" applyBorder="1" applyAlignment="1">
      <alignment vertical="center" wrapText="1"/>
    </xf>
    <xf numFmtId="0" fontId="18" fillId="33" borderId="16" xfId="0" applyFont="1" applyFill="1" applyBorder="1" applyAlignment="1">
      <alignment vertical="center" wrapText="1"/>
    </xf>
    <xf numFmtId="0" fontId="18" fillId="33" borderId="22" xfId="0" applyFont="1" applyFill="1" applyBorder="1" applyAlignment="1">
      <alignment vertical="center" wrapText="1"/>
    </xf>
    <xf numFmtId="0" fontId="18" fillId="33" borderId="23" xfId="0" applyFont="1" applyFill="1" applyBorder="1" applyAlignment="1">
      <alignment vertical="center" wrapText="1"/>
    </xf>
    <xf numFmtId="0" fontId="18" fillId="33" borderId="24" xfId="0" applyFont="1" applyFill="1" applyBorder="1" applyAlignment="1">
      <alignment vertical="center" wrapText="1"/>
    </xf>
    <xf numFmtId="0" fontId="18" fillId="33" borderId="18" xfId="0" applyFont="1" applyFill="1" applyBorder="1" applyAlignment="1">
      <alignment vertical="center" wrapText="1"/>
    </xf>
    <xf numFmtId="0" fontId="18" fillId="33" borderId="25" xfId="0" applyFont="1" applyFill="1" applyBorder="1" applyAlignment="1">
      <alignment vertical="center" wrapText="1"/>
    </xf>
    <xf numFmtId="0" fontId="20" fillId="0" borderId="0" xfId="0" applyFont="1"/>
    <xf numFmtId="0" fontId="0" fillId="34" borderId="0" xfId="0" applyFill="1"/>
    <xf numFmtId="0" fontId="0" fillId="35" borderId="31" xfId="0" applyFill="1" applyBorder="1"/>
    <xf numFmtId="0" fontId="0" fillId="35" borderId="32" xfId="0" applyFill="1" applyBorder="1"/>
    <xf numFmtId="0" fontId="0" fillId="35" borderId="33" xfId="0" applyFill="1" applyBorder="1"/>
    <xf numFmtId="0" fontId="25" fillId="35" borderId="0" xfId="0" applyFont="1" applyFill="1" applyBorder="1" applyAlignment="1">
      <alignment horizontal="right"/>
    </xf>
    <xf numFmtId="0" fontId="0" fillId="35" borderId="0" xfId="0" applyFill="1" applyBorder="1"/>
    <xf numFmtId="0" fontId="0" fillId="35" borderId="10" xfId="0" applyFill="1" applyBorder="1"/>
    <xf numFmtId="0" fontId="21" fillId="35" borderId="33" xfId="0" applyFont="1" applyFill="1" applyBorder="1"/>
    <xf numFmtId="0" fontId="22" fillId="35" borderId="33" xfId="0" applyFont="1" applyFill="1" applyBorder="1"/>
    <xf numFmtId="0" fontId="23" fillId="35" borderId="0" xfId="0" applyFont="1" applyFill="1" applyBorder="1"/>
    <xf numFmtId="0" fontId="0" fillId="35" borderId="35" xfId="0" applyFill="1" applyBorder="1"/>
    <xf numFmtId="0" fontId="23" fillId="35" borderId="35" xfId="0" applyFont="1" applyFill="1" applyBorder="1"/>
    <xf numFmtId="0" fontId="22" fillId="35" borderId="34" xfId="0" applyFont="1" applyFill="1" applyBorder="1"/>
    <xf numFmtId="164" fontId="17" fillId="35" borderId="0" xfId="0" applyNumberFormat="1" applyFont="1" applyFill="1" applyBorder="1"/>
    <xf numFmtId="164" fontId="17" fillId="35" borderId="35" xfId="0" applyNumberFormat="1" applyFont="1" applyFill="1" applyBorder="1"/>
    <xf numFmtId="0" fontId="0" fillId="36" borderId="0" xfId="0" applyFill="1" applyBorder="1" applyProtection="1">
      <protection locked="0"/>
    </xf>
    <xf numFmtId="0" fontId="0" fillId="36" borderId="35" xfId="0" applyFill="1" applyBorder="1" applyProtection="1">
      <protection locked="0"/>
    </xf>
    <xf numFmtId="0" fontId="18" fillId="33" borderId="15" xfId="0" applyFont="1" applyFill="1" applyBorder="1" applyAlignment="1">
      <alignment vertical="center" wrapText="1"/>
    </xf>
    <xf numFmtId="0" fontId="17" fillId="35" borderId="0" xfId="0" applyFont="1" applyFill="1" applyBorder="1"/>
    <xf numFmtId="0" fontId="17" fillId="35" borderId="10" xfId="0" applyFont="1" applyFill="1" applyBorder="1"/>
    <xf numFmtId="0" fontId="17" fillId="35" borderId="35" xfId="0" applyFont="1" applyFill="1" applyBorder="1"/>
    <xf numFmtId="0" fontId="17" fillId="35" borderId="11" xfId="0" applyFont="1" applyFill="1" applyBorder="1"/>
    <xf numFmtId="0" fontId="0" fillId="35" borderId="0" xfId="0" applyFill="1"/>
    <xf numFmtId="0" fontId="0" fillId="37" borderId="0" xfId="0" applyFill="1"/>
    <xf numFmtId="0" fontId="26" fillId="37" borderId="0" xfId="0" applyFont="1" applyFill="1" applyAlignment="1">
      <alignment horizontal="right"/>
    </xf>
    <xf numFmtId="0" fontId="17" fillId="37" borderId="0" xfId="0" applyFont="1" applyFill="1"/>
    <xf numFmtId="0" fontId="20" fillId="35" borderId="0" xfId="0" applyFont="1" applyFill="1"/>
    <xf numFmtId="0" fontId="29" fillId="37" borderId="0" xfId="0" applyFont="1" applyFill="1" applyBorder="1"/>
    <xf numFmtId="0" fontId="0" fillId="36" borderId="36" xfId="0" applyFill="1" applyBorder="1" applyAlignment="1">
      <alignment horizontal="left"/>
    </xf>
    <xf numFmtId="0" fontId="30" fillId="37" borderId="0" xfId="0" applyFont="1" applyFill="1" applyBorder="1" applyAlignment="1">
      <alignment horizontal="left"/>
    </xf>
    <xf numFmtId="0" fontId="30" fillId="37" borderId="0" xfId="0" applyFont="1" applyFill="1" applyBorder="1" applyAlignment="1">
      <alignment horizontal="center"/>
    </xf>
    <xf numFmtId="0" fontId="24" fillId="35" borderId="26" xfId="0" applyFont="1" applyFill="1" applyBorder="1" applyAlignment="1">
      <alignment horizontal="center"/>
    </xf>
    <xf numFmtId="0" fontId="24" fillId="35" borderId="27" xfId="0" applyFont="1" applyFill="1" applyBorder="1" applyAlignment="1">
      <alignment horizontal="center"/>
    </xf>
    <xf numFmtId="0" fontId="0" fillId="35" borderId="28" xfId="0" applyFill="1" applyBorder="1" applyAlignment="1">
      <alignment horizontal="center"/>
    </xf>
    <xf numFmtId="0" fontId="0" fillId="35" borderId="29" xfId="0" applyFill="1" applyBorder="1" applyAlignment="1">
      <alignment horizontal="center"/>
    </xf>
    <xf numFmtId="0" fontId="27" fillId="35" borderId="30" xfId="0" applyFont="1" applyFill="1" applyBorder="1" applyAlignment="1">
      <alignment horizontal="center"/>
    </xf>
    <xf numFmtId="0" fontId="27" fillId="35" borderId="31" xfId="0" applyFont="1" applyFill="1" applyBorder="1" applyAlignment="1">
      <alignment horizontal="center"/>
    </xf>
    <xf numFmtId="0" fontId="28" fillId="37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11</xdr:row>
      <xdr:rowOff>57150</xdr:rowOff>
    </xdr:from>
    <xdr:to>
      <xdr:col>20</xdr:col>
      <xdr:colOff>219075</xdr:colOff>
      <xdr:row>18</xdr:row>
      <xdr:rowOff>38100</xdr:rowOff>
    </xdr:to>
    <xdr:sp macro="" textlink="">
      <xdr:nvSpPr>
        <xdr:cNvPr id="2" name="Retângulo de cantos arredondados 1"/>
        <xdr:cNvSpPr/>
      </xdr:nvSpPr>
      <xdr:spPr>
        <a:xfrm>
          <a:off x="6048375" y="1238250"/>
          <a:ext cx="2914650" cy="1685925"/>
        </a:xfrm>
        <a:prstGeom prst="roundRect">
          <a:avLst/>
        </a:prstGeom>
        <a:noFill/>
        <a:ln w="28575">
          <a:solidFill>
            <a:srgbClr val="AA72D4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AA72D4"/>
              </a:solidFill>
            </a:ln>
            <a:solidFill>
              <a:srgbClr val="AA72D4"/>
            </a:solidFill>
          </a:endParaRPr>
        </a:p>
      </xdr:txBody>
    </xdr:sp>
    <xdr:clientData/>
  </xdr:twoCellAnchor>
  <xdr:twoCellAnchor editAs="oneCell">
    <xdr:from>
      <xdr:col>21</xdr:col>
      <xdr:colOff>876300</xdr:colOff>
      <xdr:row>9</xdr:row>
      <xdr:rowOff>61274</xdr:rowOff>
    </xdr:from>
    <xdr:to>
      <xdr:col>22</xdr:col>
      <xdr:colOff>1633390</xdr:colOff>
      <xdr:row>15</xdr:row>
      <xdr:rowOff>180975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966149"/>
          <a:ext cx="1633390" cy="1453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204787</xdr:colOff>
      <xdr:row>7</xdr:row>
      <xdr:rowOff>90488</xdr:rowOff>
    </xdr:from>
    <xdr:to>
      <xdr:col>17</xdr:col>
      <xdr:colOff>9524</xdr:colOff>
      <xdr:row>10</xdr:row>
      <xdr:rowOff>180978</xdr:rowOff>
    </xdr:to>
    <xdr:sp macro="" textlink="">
      <xdr:nvSpPr>
        <xdr:cNvPr id="4" name="Seta para a direita listrada 3"/>
        <xdr:cNvSpPr/>
      </xdr:nvSpPr>
      <xdr:spPr>
        <a:xfrm rot="5400000">
          <a:off x="6791323" y="447677"/>
          <a:ext cx="995365" cy="661987"/>
        </a:xfrm>
        <a:prstGeom prst="stripedRightArrow">
          <a:avLst/>
        </a:prstGeom>
        <a:solidFill>
          <a:srgbClr val="AA72D4"/>
        </a:solidFill>
        <a:ln>
          <a:solidFill>
            <a:srgbClr val="AA72D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8"/>
  <sheetViews>
    <sheetView workbookViewId="0">
      <selection activeCell="B18" sqref="B18"/>
    </sheetView>
  </sheetViews>
  <sheetFormatPr defaultRowHeight="15" x14ac:dyDescent="0.25"/>
  <cols>
    <col min="1" max="1" width="22.7109375" customWidth="1"/>
    <col min="2" max="2" width="53.5703125" bestFit="1" customWidth="1"/>
    <col min="3" max="3" width="5" customWidth="1"/>
    <col min="4" max="4" width="69.140625" bestFit="1" customWidth="1"/>
    <col min="5" max="5" width="6.42578125" customWidth="1"/>
    <col min="6" max="6" width="27.85546875" customWidth="1"/>
    <col min="7" max="7" width="5.28515625" customWidth="1"/>
    <col min="8" max="8" width="105.42578125" bestFit="1" customWidth="1"/>
    <col min="9" max="9" width="6.28515625" customWidth="1"/>
    <col min="10" max="10" width="52.5703125" customWidth="1"/>
    <col min="11" max="11" width="5.28515625" customWidth="1"/>
    <col min="12" max="12" width="39.140625" customWidth="1"/>
    <col min="13" max="13" width="5" customWidth="1"/>
    <col min="14" max="14" width="34.42578125" bestFit="1" customWidth="1"/>
    <col min="15" max="15" width="4.7109375" customWidth="1"/>
    <col min="16" max="16" width="37.42578125" bestFit="1" customWidth="1"/>
  </cols>
  <sheetData>
    <row r="1" spans="1:16" x14ac:dyDescent="0.25">
      <c r="A1" t="s">
        <v>12</v>
      </c>
      <c r="B1" t="s">
        <v>20</v>
      </c>
      <c r="C1">
        <v>0</v>
      </c>
      <c r="D1" t="s">
        <v>26</v>
      </c>
      <c r="E1">
        <v>5</v>
      </c>
      <c r="F1" t="s">
        <v>32</v>
      </c>
      <c r="G1">
        <v>10</v>
      </c>
      <c r="H1" t="s">
        <v>0</v>
      </c>
      <c r="I1">
        <v>15</v>
      </c>
      <c r="J1" t="s">
        <v>1</v>
      </c>
      <c r="K1">
        <v>20</v>
      </c>
    </row>
    <row r="2" spans="1:16" x14ac:dyDescent="0.25">
      <c r="A2" s="1" t="s">
        <v>15</v>
      </c>
      <c r="B2" t="s">
        <v>21</v>
      </c>
      <c r="C2">
        <v>0</v>
      </c>
      <c r="D2" t="s">
        <v>27</v>
      </c>
      <c r="E2">
        <v>8</v>
      </c>
      <c r="F2" t="s">
        <v>33</v>
      </c>
      <c r="G2">
        <v>16</v>
      </c>
      <c r="H2" t="s">
        <v>2</v>
      </c>
      <c r="I2">
        <v>24</v>
      </c>
    </row>
    <row r="3" spans="1:16" x14ac:dyDescent="0.25">
      <c r="A3" t="s">
        <v>16</v>
      </c>
      <c r="B3" t="s">
        <v>22</v>
      </c>
      <c r="C3">
        <v>0</v>
      </c>
      <c r="D3" t="s">
        <v>28</v>
      </c>
      <c r="E3">
        <v>5</v>
      </c>
      <c r="F3" t="s">
        <v>34</v>
      </c>
      <c r="G3">
        <v>10</v>
      </c>
      <c r="H3" t="s">
        <v>3</v>
      </c>
      <c r="I3">
        <v>5</v>
      </c>
    </row>
    <row r="4" spans="1:16" x14ac:dyDescent="0.25">
      <c r="A4" t="s">
        <v>17</v>
      </c>
      <c r="B4" t="s">
        <v>23</v>
      </c>
      <c r="C4">
        <v>0</v>
      </c>
      <c r="D4" t="s">
        <v>29</v>
      </c>
      <c r="E4">
        <v>5</v>
      </c>
      <c r="F4" t="s">
        <v>35</v>
      </c>
      <c r="G4">
        <v>10</v>
      </c>
      <c r="H4" t="s">
        <v>4</v>
      </c>
      <c r="I4">
        <v>15</v>
      </c>
      <c r="J4" t="s">
        <v>5</v>
      </c>
      <c r="K4">
        <v>20</v>
      </c>
    </row>
    <row r="5" spans="1:16" x14ac:dyDescent="0.25">
      <c r="A5" t="s">
        <v>18</v>
      </c>
      <c r="B5" t="s">
        <v>24</v>
      </c>
      <c r="C5">
        <v>0</v>
      </c>
      <c r="D5" t="s">
        <v>30</v>
      </c>
      <c r="E5">
        <v>6</v>
      </c>
      <c r="F5" t="s">
        <v>36</v>
      </c>
      <c r="G5">
        <v>12</v>
      </c>
      <c r="H5" t="s">
        <v>6</v>
      </c>
      <c r="I5">
        <v>16</v>
      </c>
      <c r="J5" t="s">
        <v>7</v>
      </c>
      <c r="L5" t="s">
        <v>8</v>
      </c>
      <c r="N5" t="s">
        <v>9</v>
      </c>
      <c r="P5" t="s">
        <v>10</v>
      </c>
    </row>
    <row r="6" spans="1:16" x14ac:dyDescent="0.25">
      <c r="A6" t="s">
        <v>19</v>
      </c>
      <c r="B6" t="s">
        <v>25</v>
      </c>
      <c r="C6">
        <v>0</v>
      </c>
      <c r="D6" t="s">
        <v>31</v>
      </c>
      <c r="E6">
        <v>5</v>
      </c>
      <c r="F6" t="s">
        <v>37</v>
      </c>
      <c r="G6">
        <v>10</v>
      </c>
      <c r="H6" t="s">
        <v>11</v>
      </c>
      <c r="I6">
        <v>15</v>
      </c>
    </row>
    <row r="7" spans="1:16" x14ac:dyDescent="0.25">
      <c r="A7" s="1" t="s">
        <v>13</v>
      </c>
    </row>
    <row r="8" spans="1:16" x14ac:dyDescent="0.25">
      <c r="A8" s="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L63"/>
  <sheetViews>
    <sheetView tabSelected="1" topLeftCell="I7" workbookViewId="0">
      <selection activeCell="K20" sqref="K20"/>
    </sheetView>
  </sheetViews>
  <sheetFormatPr defaultColWidth="34.140625" defaultRowHeight="15" x14ac:dyDescent="0.25"/>
  <cols>
    <col min="1" max="7" width="2.42578125" hidden="1" customWidth="1"/>
    <col min="8" max="8" width="69" style="49" hidden="1" customWidth="1"/>
    <col min="9" max="9" width="3" bestFit="1" customWidth="1"/>
    <col min="10" max="10" width="4.42578125" customWidth="1"/>
    <col min="11" max="11" width="66.140625" bestFit="1" customWidth="1"/>
    <col min="12" max="12" width="3" bestFit="1" customWidth="1"/>
    <col min="13" max="13" width="4.140625" bestFit="1" customWidth="1"/>
    <col min="14" max="14" width="9.7109375" customWidth="1"/>
    <col min="15" max="15" width="8.42578125" customWidth="1"/>
    <col min="16" max="16" width="12.7109375" customWidth="1"/>
    <col min="17" max="17" width="0.140625" customWidth="1"/>
    <col min="18" max="18" width="3" bestFit="1" customWidth="1"/>
    <col min="19" max="19" width="2.85546875" bestFit="1" customWidth="1"/>
    <col min="20" max="20" width="8.5703125" customWidth="1"/>
    <col min="21" max="21" width="7.42578125" customWidth="1"/>
    <col min="22" max="22" width="4.5703125" customWidth="1"/>
    <col min="23" max="23" width="28.140625" customWidth="1"/>
    <col min="24" max="24" width="3" hidden="1" customWidth="1"/>
    <col min="25" max="25" width="34.140625" hidden="1" customWidth="1"/>
    <col min="26" max="26" width="59.140625" hidden="1" customWidth="1"/>
    <col min="27" max="27" width="3" hidden="1" customWidth="1"/>
    <col min="28" max="34" width="34.140625" hidden="1" customWidth="1"/>
    <col min="35" max="35" width="2.28515625" hidden="1" customWidth="1"/>
    <col min="36" max="36" width="66.140625" hidden="1" customWidth="1"/>
    <col min="37" max="37" width="3" hidden="1" customWidth="1"/>
    <col min="38" max="63" width="0" hidden="1" customWidth="1"/>
    <col min="64" max="64" width="34.140625" style="49"/>
  </cols>
  <sheetData>
    <row r="1" spans="1:37" ht="409.5" hidden="1" x14ac:dyDescent="0.25">
      <c r="A1" s="6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18"/>
      <c r="H1" s="53" t="s">
        <v>38</v>
      </c>
      <c r="I1" s="27">
        <f>LEN(H1)</f>
        <v>22</v>
      </c>
      <c r="K1" s="26" t="s">
        <v>43</v>
      </c>
      <c r="L1" s="27">
        <f>LEN(K1)</f>
        <v>19</v>
      </c>
      <c r="N1" s="26" t="s">
        <v>49</v>
      </c>
      <c r="O1" s="27">
        <f>LEN(N1)</f>
        <v>19</v>
      </c>
      <c r="Q1" s="26" t="s">
        <v>54</v>
      </c>
      <c r="R1" s="27">
        <f>LEN(Q1)</f>
        <v>31</v>
      </c>
      <c r="T1" s="26" t="s">
        <v>59</v>
      </c>
      <c r="W1" s="26" t="s">
        <v>65</v>
      </c>
      <c r="X1" s="27">
        <f>LEN(W1)</f>
        <v>39</v>
      </c>
      <c r="Z1" s="26" t="s">
        <v>90</v>
      </c>
      <c r="AA1" s="27">
        <f>LEN(Z1)</f>
        <v>65</v>
      </c>
    </row>
    <row r="2" spans="1:37" hidden="1" x14ac:dyDescent="0.25">
      <c r="A2" s="8"/>
      <c r="B2" s="2"/>
      <c r="C2" s="2"/>
      <c r="D2" s="2"/>
      <c r="E2" s="2">
        <v>15</v>
      </c>
      <c r="F2" s="19"/>
      <c r="H2" s="49" t="s">
        <v>119</v>
      </c>
      <c r="I2">
        <v>0</v>
      </c>
      <c r="K2" t="s">
        <v>123</v>
      </c>
      <c r="L2">
        <v>0</v>
      </c>
      <c r="N2" t="s">
        <v>128</v>
      </c>
      <c r="O2">
        <v>0</v>
      </c>
      <c r="Q2" t="s">
        <v>132</v>
      </c>
      <c r="R2">
        <v>0</v>
      </c>
      <c r="T2" t="s">
        <v>136</v>
      </c>
      <c r="U2">
        <v>0</v>
      </c>
      <c r="W2" t="s">
        <v>68</v>
      </c>
      <c r="X2">
        <v>12</v>
      </c>
      <c r="Z2" t="s">
        <v>74</v>
      </c>
      <c r="AA2">
        <v>12</v>
      </c>
      <c r="AI2" t="s">
        <v>81</v>
      </c>
      <c r="AJ2" t="s">
        <v>40</v>
      </c>
      <c r="AK2">
        <v>5</v>
      </c>
    </row>
    <row r="3" spans="1:37" hidden="1" x14ac:dyDescent="0.25">
      <c r="A3" s="8"/>
      <c r="B3" s="2"/>
      <c r="C3" s="2"/>
      <c r="D3" s="2">
        <v>10</v>
      </c>
      <c r="E3" s="5"/>
      <c r="F3" s="19"/>
      <c r="H3" s="49" t="s">
        <v>141</v>
      </c>
      <c r="I3">
        <v>5</v>
      </c>
      <c r="K3" t="s">
        <v>124</v>
      </c>
      <c r="L3">
        <v>5</v>
      </c>
      <c r="N3" t="s">
        <v>129</v>
      </c>
      <c r="O3">
        <v>8</v>
      </c>
      <c r="Q3" t="s">
        <v>133</v>
      </c>
      <c r="R3">
        <v>5</v>
      </c>
      <c r="T3" t="s">
        <v>137</v>
      </c>
      <c r="U3">
        <v>5</v>
      </c>
      <c r="W3" t="s">
        <v>67</v>
      </c>
      <c r="X3">
        <v>6</v>
      </c>
      <c r="Z3" t="s">
        <v>73</v>
      </c>
      <c r="AA3">
        <v>8</v>
      </c>
      <c r="AI3" t="s">
        <v>81</v>
      </c>
      <c r="AJ3" t="s">
        <v>39</v>
      </c>
      <c r="AK3">
        <v>0</v>
      </c>
    </row>
    <row r="4" spans="1:37" hidden="1" x14ac:dyDescent="0.25">
      <c r="A4" s="8"/>
      <c r="B4" s="2"/>
      <c r="C4" s="2"/>
      <c r="D4" s="5"/>
      <c r="E4" s="5"/>
      <c r="F4" s="19"/>
      <c r="H4" s="49" t="s">
        <v>121</v>
      </c>
      <c r="I4">
        <v>10</v>
      </c>
      <c r="K4" t="s">
        <v>125</v>
      </c>
      <c r="L4">
        <v>10</v>
      </c>
      <c r="N4" t="s">
        <v>130</v>
      </c>
      <c r="O4">
        <v>16</v>
      </c>
      <c r="Q4" t="s">
        <v>134</v>
      </c>
      <c r="R4">
        <v>10</v>
      </c>
      <c r="T4" t="s">
        <v>138</v>
      </c>
      <c r="U4">
        <v>10</v>
      </c>
      <c r="W4" t="s">
        <v>69</v>
      </c>
      <c r="X4">
        <v>18</v>
      </c>
      <c r="Z4" t="s">
        <v>72</v>
      </c>
      <c r="AA4">
        <v>4</v>
      </c>
      <c r="AI4" t="s">
        <v>81</v>
      </c>
      <c r="AJ4" t="s">
        <v>42</v>
      </c>
      <c r="AK4">
        <v>15</v>
      </c>
    </row>
    <row r="5" spans="1:37" hidden="1" x14ac:dyDescent="0.25">
      <c r="A5" s="8"/>
      <c r="B5" s="2"/>
      <c r="C5" s="2">
        <v>5</v>
      </c>
      <c r="D5" s="5"/>
      <c r="E5" s="5"/>
      <c r="F5" s="19"/>
      <c r="H5" s="49" t="s">
        <v>122</v>
      </c>
      <c r="I5">
        <v>15</v>
      </c>
      <c r="K5" t="s">
        <v>126</v>
      </c>
      <c r="L5">
        <v>15</v>
      </c>
      <c r="N5" t="s">
        <v>131</v>
      </c>
      <c r="O5">
        <v>24</v>
      </c>
      <c r="Q5" t="s">
        <v>135</v>
      </c>
      <c r="R5">
        <v>15</v>
      </c>
      <c r="T5" t="s">
        <v>139</v>
      </c>
      <c r="U5">
        <v>15</v>
      </c>
      <c r="W5" t="s">
        <v>66</v>
      </c>
      <c r="X5">
        <v>0</v>
      </c>
      <c r="Z5" t="s">
        <v>71</v>
      </c>
      <c r="AA5">
        <v>0</v>
      </c>
      <c r="AI5" t="s">
        <v>81</v>
      </c>
      <c r="AJ5" t="s">
        <v>41</v>
      </c>
      <c r="AK5">
        <v>10</v>
      </c>
    </row>
    <row r="6" spans="1:37" ht="15.75" hidden="1" thickBot="1" x14ac:dyDescent="0.3">
      <c r="A6" s="20"/>
      <c r="B6" s="3">
        <v>0</v>
      </c>
      <c r="C6" s="4"/>
      <c r="D6" s="4"/>
      <c r="E6" s="4"/>
      <c r="F6" s="21"/>
      <c r="K6" t="s">
        <v>127</v>
      </c>
      <c r="L6">
        <v>20</v>
      </c>
      <c r="T6" t="s">
        <v>140</v>
      </c>
      <c r="U6">
        <v>20</v>
      </c>
      <c r="AI6" t="s">
        <v>82</v>
      </c>
      <c r="AJ6" t="s">
        <v>46</v>
      </c>
      <c r="AK6">
        <v>10</v>
      </c>
    </row>
    <row r="7" spans="1:37" ht="15" customHeight="1" thickBot="1" x14ac:dyDescent="0.3">
      <c r="A7" s="8"/>
      <c r="B7" s="2"/>
      <c r="C7" s="5"/>
      <c r="D7" s="5"/>
      <c r="E7" s="5"/>
      <c r="F7" s="44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</row>
    <row r="8" spans="1:37" ht="35.25" customHeight="1" x14ac:dyDescent="0.4">
      <c r="A8" s="2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9" t="s">
        <v>48</v>
      </c>
      <c r="I8" s="50"/>
      <c r="J8" s="62" t="s">
        <v>117</v>
      </c>
      <c r="K8" s="63"/>
      <c r="L8" s="28"/>
      <c r="M8" s="28"/>
      <c r="N8" s="28"/>
      <c r="O8" s="28"/>
      <c r="P8" s="28"/>
      <c r="Q8" s="28"/>
      <c r="R8" s="28"/>
      <c r="S8" s="28"/>
      <c r="T8" s="28"/>
      <c r="U8" s="29"/>
      <c r="V8" s="50"/>
      <c r="W8" s="50"/>
      <c r="AI8" t="s">
        <v>82</v>
      </c>
      <c r="AJ8" t="s">
        <v>45</v>
      </c>
      <c r="AK8">
        <v>5</v>
      </c>
    </row>
    <row r="9" spans="1:37" ht="21" x14ac:dyDescent="0.35">
      <c r="A9" s="8"/>
      <c r="B9" s="2"/>
      <c r="C9" s="2"/>
      <c r="D9" s="2"/>
      <c r="E9" s="2">
        <v>15</v>
      </c>
      <c r="F9" s="9"/>
      <c r="I9" s="50"/>
      <c r="J9" s="30"/>
      <c r="K9" s="31"/>
      <c r="L9" s="58">
        <f>M12+M14+M16+M18+M20+204</f>
        <v>280</v>
      </c>
      <c r="M9" s="59"/>
      <c r="N9" s="32"/>
      <c r="O9" s="49"/>
      <c r="P9" s="49"/>
      <c r="Q9" s="49"/>
      <c r="R9" s="49"/>
      <c r="S9" s="49"/>
      <c r="T9" s="49"/>
      <c r="U9" s="33"/>
      <c r="V9" s="50"/>
      <c r="W9" s="50"/>
      <c r="AI9" t="s">
        <v>82</v>
      </c>
      <c r="AJ9" t="s">
        <v>44</v>
      </c>
      <c r="AK9">
        <v>0</v>
      </c>
    </row>
    <row r="10" spans="1:37" x14ac:dyDescent="0.25">
      <c r="A10" s="8"/>
      <c r="B10" s="2"/>
      <c r="C10" s="2"/>
      <c r="D10" s="2"/>
      <c r="E10" s="2"/>
      <c r="F10" s="9"/>
      <c r="I10" s="50"/>
      <c r="J10" s="34"/>
      <c r="K10" s="32"/>
      <c r="L10" s="60" t="s">
        <v>91</v>
      </c>
      <c r="M10" s="61"/>
      <c r="N10" s="32"/>
      <c r="O10" s="32"/>
      <c r="P10" s="32"/>
      <c r="Q10" s="32"/>
      <c r="R10" s="32"/>
      <c r="S10" s="32"/>
      <c r="T10" s="32"/>
      <c r="U10" s="33"/>
      <c r="V10" s="50"/>
      <c r="W10" s="50"/>
      <c r="AI10" t="s">
        <v>82</v>
      </c>
      <c r="AJ10" t="s">
        <v>48</v>
      </c>
      <c r="AK10">
        <v>20</v>
      </c>
    </row>
    <row r="11" spans="1:37" x14ac:dyDescent="0.25">
      <c r="A11" s="8"/>
      <c r="B11" s="2"/>
      <c r="C11" s="2"/>
      <c r="D11" s="2">
        <v>10</v>
      </c>
      <c r="E11" s="5"/>
      <c r="F11" s="9"/>
      <c r="I11" s="50"/>
      <c r="J11" s="35" t="s">
        <v>38</v>
      </c>
      <c r="K11" s="32"/>
      <c r="L11" s="32"/>
      <c r="M11" s="32"/>
      <c r="N11" s="32"/>
      <c r="O11" s="45"/>
      <c r="P11" s="45"/>
      <c r="Q11" s="45"/>
      <c r="R11" s="45"/>
      <c r="S11" s="45"/>
      <c r="T11" s="45"/>
      <c r="U11" s="46"/>
      <c r="V11" s="50"/>
      <c r="W11" s="50"/>
      <c r="AI11" t="s">
        <v>82</v>
      </c>
      <c r="AJ11" t="s">
        <v>47</v>
      </c>
      <c r="AK11">
        <v>15</v>
      </c>
    </row>
    <row r="12" spans="1:37" ht="18.75" x14ac:dyDescent="0.3">
      <c r="A12" s="8"/>
      <c r="B12" s="2"/>
      <c r="C12" s="2"/>
      <c r="D12" s="5"/>
      <c r="E12" s="5"/>
      <c r="F12" s="9">
        <v>20</v>
      </c>
      <c r="I12" s="50"/>
      <c r="J12" s="35"/>
      <c r="K12" s="42" t="s">
        <v>122</v>
      </c>
      <c r="L12" s="32"/>
      <c r="M12" s="36">
        <f>VLOOKUP(K12,$H$2:$I$5,2)</f>
        <v>15</v>
      </c>
      <c r="N12" s="32"/>
      <c r="O12" s="45"/>
      <c r="P12" s="45"/>
      <c r="Q12" s="45"/>
      <c r="R12" s="45"/>
      <c r="S12" s="45"/>
      <c r="T12" s="45"/>
      <c r="U12" s="46"/>
      <c r="V12" s="50"/>
      <c r="W12" s="50"/>
      <c r="AI12" t="s">
        <v>83</v>
      </c>
      <c r="AJ12" t="s">
        <v>50</v>
      </c>
      <c r="AK12">
        <v>0</v>
      </c>
    </row>
    <row r="13" spans="1:37" ht="18.75" x14ac:dyDescent="0.3">
      <c r="A13" s="8"/>
      <c r="B13" s="2"/>
      <c r="C13" s="2"/>
      <c r="D13" s="5"/>
      <c r="E13" s="5"/>
      <c r="F13" s="9"/>
      <c r="I13" s="50"/>
      <c r="J13" s="35" t="s">
        <v>43</v>
      </c>
      <c r="K13" s="32"/>
      <c r="L13" s="32"/>
      <c r="M13" s="36"/>
      <c r="N13" s="32"/>
      <c r="O13" s="45"/>
      <c r="P13" s="45"/>
      <c r="Q13" s="45"/>
      <c r="R13" s="45"/>
      <c r="S13" s="45"/>
      <c r="T13" s="45"/>
      <c r="U13" s="46"/>
      <c r="V13" s="50"/>
      <c r="W13" s="50"/>
      <c r="AI13" t="s">
        <v>83</v>
      </c>
      <c r="AJ13" t="s">
        <v>52</v>
      </c>
      <c r="AK13">
        <v>16</v>
      </c>
    </row>
    <row r="14" spans="1:37" ht="18.75" x14ac:dyDescent="0.3">
      <c r="A14" s="8"/>
      <c r="B14" s="2"/>
      <c r="C14" s="2"/>
      <c r="D14" s="5"/>
      <c r="E14" s="5"/>
      <c r="F14" s="10"/>
      <c r="I14" s="50"/>
      <c r="J14" s="35"/>
      <c r="K14" s="42" t="s">
        <v>126</v>
      </c>
      <c r="L14" s="32"/>
      <c r="M14" s="36">
        <f>VLOOKUP(K14,$K$2:$L$6,2)</f>
        <v>15</v>
      </c>
      <c r="N14" s="32"/>
      <c r="O14" s="54" t="s">
        <v>116</v>
      </c>
      <c r="P14" s="54"/>
      <c r="Q14" s="54"/>
      <c r="R14" s="54"/>
      <c r="S14" s="54"/>
      <c r="T14" s="54"/>
      <c r="U14" s="46"/>
      <c r="V14" s="50"/>
      <c r="W14" s="50"/>
      <c r="AI14" t="s">
        <v>83</v>
      </c>
      <c r="AJ14" t="s">
        <v>51</v>
      </c>
      <c r="AK14">
        <v>8</v>
      </c>
    </row>
    <row r="15" spans="1:37" ht="18.75" x14ac:dyDescent="0.3">
      <c r="A15" s="8"/>
      <c r="B15" s="2"/>
      <c r="C15" s="2"/>
      <c r="D15" s="5"/>
      <c r="E15" s="5"/>
      <c r="F15" s="10"/>
      <c r="I15" s="50"/>
      <c r="J15" s="35" t="s">
        <v>49</v>
      </c>
      <c r="K15" s="32"/>
      <c r="L15" s="32"/>
      <c r="M15" s="36"/>
      <c r="N15" s="32"/>
      <c r="O15" s="45"/>
      <c r="P15" s="45"/>
      <c r="Q15" s="45"/>
      <c r="R15" s="45"/>
      <c r="S15" s="45"/>
      <c r="T15" s="45"/>
      <c r="U15" s="46"/>
      <c r="V15" s="50"/>
      <c r="W15" s="50"/>
      <c r="AI15" t="s">
        <v>83</v>
      </c>
      <c r="AJ15" t="s">
        <v>53</v>
      </c>
      <c r="AK15">
        <v>24</v>
      </c>
    </row>
    <row r="16" spans="1:37" ht="21" x14ac:dyDescent="0.35">
      <c r="A16" s="8"/>
      <c r="B16" s="2">
        <v>0</v>
      </c>
      <c r="C16" s="2"/>
      <c r="D16" s="5"/>
      <c r="E16" s="5"/>
      <c r="F16" s="10"/>
      <c r="I16" s="50"/>
      <c r="J16" s="35"/>
      <c r="K16" s="42" t="s">
        <v>130</v>
      </c>
      <c r="L16" s="32"/>
      <c r="M16" s="36">
        <f>VLOOKUP(K16,$N$2:$O$5,2)</f>
        <v>16</v>
      </c>
      <c r="N16" s="32"/>
      <c r="O16" s="57">
        <f>ROUNDDOWN(Q20,0)</f>
        <v>40</v>
      </c>
      <c r="P16" s="56" t="s">
        <v>114</v>
      </c>
      <c r="Q16" s="55"/>
      <c r="R16" s="32"/>
      <c r="S16" s="57">
        <f>7*Q19</f>
        <v>0</v>
      </c>
      <c r="T16" s="56" t="s">
        <v>115</v>
      </c>
      <c r="U16" s="46"/>
      <c r="V16" s="50"/>
      <c r="W16" s="50"/>
      <c r="AI16" t="s">
        <v>84</v>
      </c>
      <c r="AJ16" t="s">
        <v>55</v>
      </c>
      <c r="AK16">
        <v>0</v>
      </c>
    </row>
    <row r="17" spans="1:37" ht="18.75" x14ac:dyDescent="0.3">
      <c r="A17" s="8"/>
      <c r="B17" s="2"/>
      <c r="C17" s="2"/>
      <c r="D17" s="5"/>
      <c r="E17" s="5"/>
      <c r="F17" s="10"/>
      <c r="I17" s="50"/>
      <c r="J17" s="35" t="s">
        <v>54</v>
      </c>
      <c r="K17" s="32"/>
      <c r="L17" s="32"/>
      <c r="M17" s="36"/>
      <c r="N17" s="32"/>
      <c r="O17" s="45"/>
      <c r="P17" s="45"/>
      <c r="Q17" s="45"/>
      <c r="R17" s="45"/>
      <c r="S17" s="45"/>
      <c r="T17" s="45"/>
      <c r="U17" s="46"/>
      <c r="V17" s="50"/>
      <c r="W17" s="50"/>
      <c r="AI17" t="s">
        <v>84</v>
      </c>
      <c r="AJ17" t="s">
        <v>56</v>
      </c>
      <c r="AK17">
        <v>5</v>
      </c>
    </row>
    <row r="18" spans="1:37" ht="19.5" thickBot="1" x14ac:dyDescent="0.35">
      <c r="A18" s="20"/>
      <c r="B18" s="4"/>
      <c r="C18" s="3">
        <v>5</v>
      </c>
      <c r="D18" s="4"/>
      <c r="E18" s="4"/>
      <c r="F18" s="11"/>
      <c r="I18" s="50"/>
      <c r="J18" s="35"/>
      <c r="K18" s="42" t="s">
        <v>134</v>
      </c>
      <c r="L18" s="32"/>
      <c r="M18" s="36">
        <f>VLOOKUP(K18,$Q$2:$R$5,2)</f>
        <v>10</v>
      </c>
      <c r="N18" s="32"/>
      <c r="O18" s="45"/>
      <c r="P18" s="45"/>
      <c r="Q18" s="45"/>
      <c r="R18" s="45"/>
      <c r="S18" s="45"/>
      <c r="T18" s="45"/>
      <c r="U18" s="46"/>
      <c r="V18" s="50"/>
      <c r="W18" s="50"/>
      <c r="AI18" t="s">
        <v>84</v>
      </c>
      <c r="AJ18" t="s">
        <v>58</v>
      </c>
      <c r="AK18">
        <v>15</v>
      </c>
    </row>
    <row r="19" spans="1:37" ht="19.5" thickBot="1" x14ac:dyDescent="0.35">
      <c r="A19" s="8"/>
      <c r="B19" s="5"/>
      <c r="C19" s="2"/>
      <c r="D19" s="5"/>
      <c r="E19" s="5"/>
      <c r="F19" s="10"/>
      <c r="I19" s="50"/>
      <c r="J19" s="35" t="s">
        <v>59</v>
      </c>
      <c r="K19" s="32"/>
      <c r="L19" s="32"/>
      <c r="M19" s="36"/>
      <c r="N19" s="32"/>
      <c r="O19" s="45"/>
      <c r="P19" s="45"/>
      <c r="Q19" s="40">
        <f>Q20-O16</f>
        <v>0</v>
      </c>
      <c r="R19" s="45"/>
      <c r="S19" s="45"/>
      <c r="T19" s="45"/>
      <c r="U19" s="46"/>
      <c r="V19" s="50"/>
      <c r="W19" s="50"/>
      <c r="AI19" t="s">
        <v>84</v>
      </c>
      <c r="AJ19" t="s">
        <v>57</v>
      </c>
      <c r="AK19">
        <v>10</v>
      </c>
    </row>
    <row r="20" spans="1:37" ht="20.100000000000001" customHeight="1" thickBot="1" x14ac:dyDescent="0.35">
      <c r="A20" s="22" t="s">
        <v>49</v>
      </c>
      <c r="B20" s="2" t="s">
        <v>50</v>
      </c>
      <c r="C20" s="2" t="s">
        <v>51</v>
      </c>
      <c r="D20" s="2" t="s">
        <v>52</v>
      </c>
      <c r="E20" s="2" t="s">
        <v>53</v>
      </c>
      <c r="F20" s="23"/>
      <c r="I20" s="50"/>
      <c r="J20" s="39"/>
      <c r="K20" s="43" t="s">
        <v>140</v>
      </c>
      <c r="L20" s="37"/>
      <c r="M20" s="38">
        <f>VLOOKUP(K20,$T$2:$U$6,2)</f>
        <v>20</v>
      </c>
      <c r="N20" s="37"/>
      <c r="O20" s="47"/>
      <c r="P20" s="47"/>
      <c r="Q20" s="41">
        <f>L9/7</f>
        <v>40</v>
      </c>
      <c r="R20" s="47"/>
      <c r="S20" s="47"/>
      <c r="T20" s="47"/>
      <c r="U20" s="48"/>
      <c r="V20" s="50"/>
      <c r="W20" s="50"/>
      <c r="AI20" t="s">
        <v>85</v>
      </c>
      <c r="AJ20" t="s">
        <v>60</v>
      </c>
      <c r="AK20">
        <v>0</v>
      </c>
    </row>
    <row r="21" spans="1:37" x14ac:dyDescent="0.25">
      <c r="A21" s="8"/>
      <c r="B21" s="2"/>
      <c r="C21" s="2"/>
      <c r="D21" s="2"/>
      <c r="E21" s="2"/>
      <c r="F21" s="19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AI21" t="s">
        <v>85</v>
      </c>
      <c r="AJ21" t="s">
        <v>62</v>
      </c>
      <c r="AK21">
        <v>10</v>
      </c>
    </row>
    <row r="22" spans="1:37" x14ac:dyDescent="0.25">
      <c r="A22" s="8"/>
      <c r="B22" s="2"/>
      <c r="C22" s="2"/>
      <c r="D22" s="2">
        <v>16</v>
      </c>
      <c r="E22" s="2"/>
      <c r="F22" s="19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AI22" t="s">
        <v>85</v>
      </c>
      <c r="AJ22" t="s">
        <v>61</v>
      </c>
      <c r="AK22">
        <v>5</v>
      </c>
    </row>
    <row r="23" spans="1:37" ht="33" x14ac:dyDescent="0.45">
      <c r="A23" s="8"/>
      <c r="B23" s="2"/>
      <c r="C23" s="2"/>
      <c r="D23" s="2"/>
      <c r="E23" s="2"/>
      <c r="F23" s="19"/>
      <c r="I23" s="50"/>
      <c r="J23" s="50"/>
      <c r="K23" s="64" t="s">
        <v>118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50"/>
      <c r="W23" s="50"/>
      <c r="AI23" t="s">
        <v>85</v>
      </c>
      <c r="AJ23" t="s">
        <v>64</v>
      </c>
      <c r="AK23">
        <v>20</v>
      </c>
    </row>
    <row r="24" spans="1:37" x14ac:dyDescent="0.25">
      <c r="A24" s="8"/>
      <c r="B24" s="2"/>
      <c r="C24" s="2"/>
      <c r="D24" s="5"/>
      <c r="E24" s="2"/>
      <c r="F24" s="19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AI24" t="s">
        <v>85</v>
      </c>
      <c r="AJ24" t="s">
        <v>63</v>
      </c>
      <c r="AK24">
        <v>15</v>
      </c>
    </row>
    <row r="25" spans="1:37" x14ac:dyDescent="0.25">
      <c r="A25" s="8"/>
      <c r="B25" s="2">
        <v>0</v>
      </c>
      <c r="C25" s="2">
        <v>8</v>
      </c>
      <c r="D25" s="5"/>
      <c r="E25" s="2"/>
      <c r="F25" s="19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AI25" t="s">
        <v>86</v>
      </c>
      <c r="AJ25" t="s">
        <v>68</v>
      </c>
      <c r="AK25">
        <v>12</v>
      </c>
    </row>
    <row r="26" spans="1:37" ht="15.75" thickBot="1" x14ac:dyDescent="0.3">
      <c r="A26" s="20"/>
      <c r="B26" s="4"/>
      <c r="C26" s="4"/>
      <c r="D26" s="4"/>
      <c r="E26" s="3">
        <v>24</v>
      </c>
      <c r="F26" s="21"/>
      <c r="I26" s="50"/>
      <c r="J26" s="50"/>
      <c r="K26" s="51"/>
      <c r="L26" s="52"/>
      <c r="M26" s="52"/>
      <c r="N26" s="52"/>
      <c r="O26" s="50"/>
      <c r="P26" s="50"/>
      <c r="Q26" s="50"/>
      <c r="R26" s="50"/>
      <c r="S26" s="50"/>
      <c r="T26" s="50"/>
      <c r="U26" s="50"/>
      <c r="V26" s="50"/>
      <c r="W26" s="50"/>
      <c r="AI26" t="s">
        <v>86</v>
      </c>
      <c r="AJ26" t="s">
        <v>67</v>
      </c>
      <c r="AK26">
        <v>6</v>
      </c>
    </row>
    <row r="27" spans="1:37" ht="20.100000000000001" customHeight="1" x14ac:dyDescent="0.25">
      <c r="A27" s="22" t="s">
        <v>54</v>
      </c>
      <c r="B27" s="2" t="s">
        <v>55</v>
      </c>
      <c r="C27" s="2" t="s">
        <v>56</v>
      </c>
      <c r="D27" s="2" t="s">
        <v>57</v>
      </c>
      <c r="E27" s="2" t="s">
        <v>58</v>
      </c>
      <c r="F27" s="2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AI27" t="s">
        <v>86</v>
      </c>
      <c r="AJ27" t="s">
        <v>69</v>
      </c>
      <c r="AK27">
        <v>18</v>
      </c>
    </row>
    <row r="28" spans="1:37" x14ac:dyDescent="0.25">
      <c r="A28" s="8"/>
      <c r="B28" s="2">
        <v>0</v>
      </c>
      <c r="C28" s="2"/>
      <c r="D28" s="2">
        <v>10</v>
      </c>
      <c r="E28" s="2"/>
      <c r="F28" s="19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AI28" t="s">
        <v>86</v>
      </c>
      <c r="AJ28" t="s">
        <v>66</v>
      </c>
      <c r="AK28">
        <v>0</v>
      </c>
    </row>
    <row r="29" spans="1:37" ht="15.75" thickBot="1" x14ac:dyDescent="0.3">
      <c r="A29" s="20"/>
      <c r="B29" s="4"/>
      <c r="C29" s="3">
        <v>5</v>
      </c>
      <c r="D29" s="4"/>
      <c r="E29" s="3">
        <v>15</v>
      </c>
      <c r="F29" s="21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AI29" t="s">
        <v>80</v>
      </c>
      <c r="AJ29" t="s">
        <v>74</v>
      </c>
      <c r="AK29">
        <v>12</v>
      </c>
    </row>
    <row r="30" spans="1:37" ht="409.5" x14ac:dyDescent="0.25">
      <c r="A30" s="22" t="s">
        <v>59</v>
      </c>
      <c r="B30" s="2" t="s">
        <v>60</v>
      </c>
      <c r="C30" s="2" t="s">
        <v>61</v>
      </c>
      <c r="D30" s="2" t="s">
        <v>62</v>
      </c>
      <c r="E30" s="2" t="s">
        <v>63</v>
      </c>
      <c r="F30" s="9" t="s">
        <v>64</v>
      </c>
      <c r="AI30" t="s">
        <v>80</v>
      </c>
      <c r="AJ30" t="s">
        <v>73</v>
      </c>
      <c r="AK30">
        <v>8</v>
      </c>
    </row>
    <row r="31" spans="1:37" x14ac:dyDescent="0.25">
      <c r="A31" s="8"/>
      <c r="B31" s="2"/>
      <c r="C31" s="2"/>
      <c r="D31" s="2">
        <v>10</v>
      </c>
      <c r="E31" s="2"/>
      <c r="F31" s="9"/>
      <c r="AI31" t="s">
        <v>80</v>
      </c>
      <c r="AJ31" t="s">
        <v>72</v>
      </c>
      <c r="AK31">
        <v>4</v>
      </c>
    </row>
    <row r="32" spans="1:37" x14ac:dyDescent="0.25">
      <c r="A32" s="8"/>
      <c r="B32" s="2"/>
      <c r="C32" s="2">
        <v>5</v>
      </c>
      <c r="D32" s="5"/>
      <c r="E32" s="2"/>
      <c r="F32" s="9"/>
      <c r="AI32" t="s">
        <v>80</v>
      </c>
      <c r="AJ32" t="s">
        <v>71</v>
      </c>
      <c r="AK32">
        <v>0</v>
      </c>
    </row>
    <row r="33" spans="1:6" x14ac:dyDescent="0.25">
      <c r="A33" s="8"/>
      <c r="B33" s="2"/>
      <c r="C33" s="5"/>
      <c r="D33" s="5"/>
      <c r="E33" s="2">
        <v>15</v>
      </c>
      <c r="F33" s="9">
        <v>20</v>
      </c>
    </row>
    <row r="34" spans="1:6" x14ac:dyDescent="0.25">
      <c r="A34" s="8"/>
      <c r="B34" s="2"/>
      <c r="C34" s="5"/>
      <c r="D34" s="5"/>
      <c r="E34" s="5"/>
      <c r="F34" s="10"/>
    </row>
    <row r="35" spans="1:6" x14ac:dyDescent="0.25">
      <c r="A35" s="8"/>
      <c r="B35" s="2"/>
      <c r="C35" s="5"/>
      <c r="D35" s="5"/>
      <c r="E35" s="5"/>
      <c r="F35" s="10"/>
    </row>
    <row r="36" spans="1:6" ht="15.75" thickBot="1" x14ac:dyDescent="0.3">
      <c r="A36" s="20"/>
      <c r="B36" s="3">
        <v>0</v>
      </c>
      <c r="C36" s="4"/>
      <c r="D36" s="4"/>
      <c r="E36" s="4"/>
      <c r="F36" s="11"/>
    </row>
    <row r="37" spans="1:6" ht="409.5" x14ac:dyDescent="0.25">
      <c r="A37" s="22" t="s">
        <v>65</v>
      </c>
      <c r="B37" s="2" t="s">
        <v>66</v>
      </c>
      <c r="C37" s="2" t="s">
        <v>67</v>
      </c>
      <c r="D37" s="2" t="s">
        <v>68</v>
      </c>
      <c r="E37" s="2" t="s">
        <v>69</v>
      </c>
      <c r="F37" s="23"/>
    </row>
    <row r="38" spans="1:6" x14ac:dyDescent="0.25">
      <c r="A38" s="8"/>
      <c r="B38" s="2"/>
      <c r="C38" s="2">
        <v>6</v>
      </c>
      <c r="D38" s="2"/>
      <c r="E38" s="2"/>
      <c r="F38" s="19"/>
    </row>
    <row r="39" spans="1:6" x14ac:dyDescent="0.25">
      <c r="A39" s="8"/>
      <c r="B39" s="2"/>
      <c r="C39" s="5"/>
      <c r="D39" s="2"/>
      <c r="E39" s="2">
        <v>18</v>
      </c>
      <c r="F39" s="19"/>
    </row>
    <row r="40" spans="1:6" x14ac:dyDescent="0.25">
      <c r="A40" s="8"/>
      <c r="B40" s="2"/>
      <c r="C40" s="5"/>
      <c r="D40" s="2"/>
      <c r="E40" s="5"/>
      <c r="F40" s="19"/>
    </row>
    <row r="41" spans="1:6" x14ac:dyDescent="0.25">
      <c r="A41" s="8"/>
      <c r="B41" s="2">
        <v>0</v>
      </c>
      <c r="C41" s="5"/>
      <c r="D41" s="2"/>
      <c r="E41" s="5"/>
      <c r="F41" s="19"/>
    </row>
    <row r="42" spans="1:6" ht="15.75" thickBot="1" x14ac:dyDescent="0.3">
      <c r="A42" s="20"/>
      <c r="B42" s="4"/>
      <c r="C42" s="4"/>
      <c r="D42" s="3">
        <v>12</v>
      </c>
      <c r="E42" s="4"/>
      <c r="F42" s="21"/>
    </row>
    <row r="43" spans="1:6" ht="409.5" x14ac:dyDescent="0.25">
      <c r="A43" s="22" t="s">
        <v>70</v>
      </c>
      <c r="B43" s="2" t="s">
        <v>71</v>
      </c>
      <c r="C43" s="2" t="s">
        <v>72</v>
      </c>
      <c r="D43" s="2" t="s">
        <v>73</v>
      </c>
      <c r="E43" s="2" t="s">
        <v>74</v>
      </c>
      <c r="F43" s="23"/>
    </row>
    <row r="44" spans="1:6" x14ac:dyDescent="0.25">
      <c r="A44" s="8"/>
      <c r="B44" s="2"/>
      <c r="C44" s="2"/>
      <c r="D44" s="2"/>
      <c r="E44" s="2"/>
      <c r="F44" s="19"/>
    </row>
    <row r="45" spans="1:6" x14ac:dyDescent="0.25">
      <c r="A45" s="8"/>
      <c r="B45" s="2"/>
      <c r="C45" s="2"/>
      <c r="D45" s="2"/>
      <c r="E45" s="2"/>
      <c r="F45" s="19"/>
    </row>
    <row r="46" spans="1:6" x14ac:dyDescent="0.25">
      <c r="A46" s="8"/>
      <c r="B46" s="2"/>
      <c r="C46" s="2"/>
      <c r="D46" s="2"/>
      <c r="E46" s="2"/>
      <c r="F46" s="19"/>
    </row>
    <row r="47" spans="1:6" x14ac:dyDescent="0.25">
      <c r="A47" s="8"/>
      <c r="B47" s="2">
        <v>0</v>
      </c>
      <c r="C47" s="2"/>
      <c r="D47" s="2"/>
      <c r="E47" s="2"/>
      <c r="F47" s="19"/>
    </row>
    <row r="48" spans="1:6" x14ac:dyDescent="0.25">
      <c r="A48" s="8"/>
      <c r="B48" s="5"/>
      <c r="C48" s="2">
        <v>4</v>
      </c>
      <c r="D48" s="2"/>
      <c r="E48" s="2"/>
      <c r="F48" s="19"/>
    </row>
    <row r="49" spans="1:6" x14ac:dyDescent="0.25">
      <c r="A49" s="24"/>
      <c r="B49" s="12"/>
      <c r="C49" s="12"/>
      <c r="D49" s="13">
        <v>8</v>
      </c>
      <c r="E49" s="13">
        <v>12</v>
      </c>
      <c r="F49" s="25"/>
    </row>
    <row r="51" spans="1:6" x14ac:dyDescent="0.25">
      <c r="A51" s="14"/>
    </row>
    <row r="53" spans="1:6" ht="409.5" x14ac:dyDescent="0.25">
      <c r="A53" s="15" t="s">
        <v>75</v>
      </c>
    </row>
    <row r="55" spans="1:6" ht="409.5" x14ac:dyDescent="0.25">
      <c r="A55" s="16" t="s">
        <v>76</v>
      </c>
    </row>
    <row r="57" spans="1:6" ht="409.5" x14ac:dyDescent="0.25">
      <c r="A57" s="16" t="s">
        <v>77</v>
      </c>
    </row>
    <row r="59" spans="1:6" ht="242.25" x14ac:dyDescent="0.25">
      <c r="A59" s="17" t="s">
        <v>78</v>
      </c>
    </row>
    <row r="61" spans="1:6" ht="409.5" x14ac:dyDescent="0.25">
      <c r="A61" s="17" t="s">
        <v>79</v>
      </c>
    </row>
    <row r="63" spans="1:6" x14ac:dyDescent="0.25">
      <c r="A63" s="17"/>
    </row>
  </sheetData>
  <sheetProtection algorithmName="SHA-512" hashValue="jgZX8Qu9i+EySplUhFPlO76dr2Be7YxUXTwasTGV0azmUdEn6PMBw+KdV1sMzOMWJbdiF0Ez/K2gt3c7WVEpbQ==" saltValue="O6bjVxQm23ln1VtMqj+KGQ==" spinCount="100000" sheet="1" objects="1" scenarios="1"/>
  <sortState ref="Z2:AA5">
    <sortCondition ref="Z2:Z5"/>
  </sortState>
  <dataConsolidate/>
  <mergeCells count="4">
    <mergeCell ref="L9:M9"/>
    <mergeCell ref="L10:M10"/>
    <mergeCell ref="J8:K8"/>
    <mergeCell ref="K23:U23"/>
  </mergeCells>
  <dataValidations count="5">
    <dataValidation type="list" allowBlank="1" showInputMessage="1" showErrorMessage="1" sqref="K12:K13">
      <formula1>A</formula1>
    </dataValidation>
    <dataValidation type="list" allowBlank="1" showInputMessage="1" showErrorMessage="1" sqref="K14:K15">
      <formula1>B</formula1>
    </dataValidation>
    <dataValidation type="list" allowBlank="1" showInputMessage="1" showErrorMessage="1" sqref="K16:K17">
      <formula1>Cab</formula1>
    </dataValidation>
    <dataValidation type="list" allowBlank="1" showInputMessage="1" showErrorMessage="1" sqref="K18:K19">
      <formula1>D</formula1>
    </dataValidation>
    <dataValidation type="list" allowBlank="1" showInputMessage="1" showErrorMessage="1" sqref="K20">
      <formula1 xml:space="preserve"> E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C23"/>
  <sheetViews>
    <sheetView topLeftCell="A4" workbookViewId="0">
      <selection activeCell="B23" sqref="B23:C23"/>
    </sheetView>
  </sheetViews>
  <sheetFormatPr defaultRowHeight="15" x14ac:dyDescent="0.25"/>
  <cols>
    <col min="1" max="1" width="7.28515625" bestFit="1" customWidth="1"/>
    <col min="2" max="2" width="63" customWidth="1"/>
    <col min="3" max="3" width="8.42578125" bestFit="1" customWidth="1"/>
  </cols>
  <sheetData>
    <row r="1" spans="1:3" x14ac:dyDescent="0.25">
      <c r="A1" t="s">
        <v>87</v>
      </c>
      <c r="B1" t="s">
        <v>88</v>
      </c>
      <c r="C1" t="s">
        <v>89</v>
      </c>
    </row>
    <row r="2" spans="1:3" x14ac:dyDescent="0.25">
      <c r="A2" t="s">
        <v>92</v>
      </c>
      <c r="B2" t="s">
        <v>119</v>
      </c>
      <c r="C2">
        <v>0</v>
      </c>
    </row>
    <row r="3" spans="1:3" x14ac:dyDescent="0.25">
      <c r="A3" t="s">
        <v>93</v>
      </c>
      <c r="B3" t="s">
        <v>120</v>
      </c>
      <c r="C3">
        <v>5</v>
      </c>
    </row>
    <row r="4" spans="1:3" x14ac:dyDescent="0.25">
      <c r="A4" t="s">
        <v>94</v>
      </c>
      <c r="B4" t="s">
        <v>121</v>
      </c>
      <c r="C4">
        <v>10</v>
      </c>
    </row>
    <row r="5" spans="1:3" x14ac:dyDescent="0.25">
      <c r="A5" t="s">
        <v>95</v>
      </c>
      <c r="B5" t="s">
        <v>122</v>
      </c>
      <c r="C5">
        <v>15</v>
      </c>
    </row>
    <row r="6" spans="1:3" x14ac:dyDescent="0.25">
      <c r="A6" t="s">
        <v>96</v>
      </c>
      <c r="B6" t="s">
        <v>123</v>
      </c>
      <c r="C6">
        <v>0</v>
      </c>
    </row>
    <row r="7" spans="1:3" x14ac:dyDescent="0.25">
      <c r="A7" t="s">
        <v>97</v>
      </c>
      <c r="B7" t="s">
        <v>124</v>
      </c>
      <c r="C7">
        <v>5</v>
      </c>
    </row>
    <row r="8" spans="1:3" x14ac:dyDescent="0.25">
      <c r="A8" t="s">
        <v>98</v>
      </c>
      <c r="B8" t="s">
        <v>125</v>
      </c>
      <c r="C8">
        <v>10</v>
      </c>
    </row>
    <row r="9" spans="1:3" x14ac:dyDescent="0.25">
      <c r="A9" t="s">
        <v>99</v>
      </c>
      <c r="B9" t="s">
        <v>126</v>
      </c>
      <c r="C9">
        <v>15</v>
      </c>
    </row>
    <row r="10" spans="1:3" x14ac:dyDescent="0.25">
      <c r="A10" t="s">
        <v>100</v>
      </c>
      <c r="B10" t="s">
        <v>127</v>
      </c>
      <c r="C10">
        <v>20</v>
      </c>
    </row>
    <row r="11" spans="1:3" x14ac:dyDescent="0.25">
      <c r="A11" t="s">
        <v>101</v>
      </c>
      <c r="B11" t="s">
        <v>128</v>
      </c>
      <c r="C11">
        <v>0</v>
      </c>
    </row>
    <row r="12" spans="1:3" x14ac:dyDescent="0.25">
      <c r="A12" t="s">
        <v>102</v>
      </c>
      <c r="B12" t="s">
        <v>129</v>
      </c>
      <c r="C12">
        <v>8</v>
      </c>
    </row>
    <row r="13" spans="1:3" x14ac:dyDescent="0.25">
      <c r="A13" t="s">
        <v>103</v>
      </c>
      <c r="B13" t="s">
        <v>130</v>
      </c>
      <c r="C13">
        <v>16</v>
      </c>
    </row>
    <row r="14" spans="1:3" x14ac:dyDescent="0.25">
      <c r="A14" t="s">
        <v>104</v>
      </c>
      <c r="B14" t="s">
        <v>131</v>
      </c>
      <c r="C14">
        <v>24</v>
      </c>
    </row>
    <row r="15" spans="1:3" x14ac:dyDescent="0.25">
      <c r="A15" t="s">
        <v>105</v>
      </c>
      <c r="B15" t="s">
        <v>132</v>
      </c>
      <c r="C15">
        <v>0</v>
      </c>
    </row>
    <row r="16" spans="1:3" x14ac:dyDescent="0.25">
      <c r="A16" t="s">
        <v>106</v>
      </c>
      <c r="B16" t="s">
        <v>133</v>
      </c>
      <c r="C16">
        <v>5</v>
      </c>
    </row>
    <row r="17" spans="1:3" x14ac:dyDescent="0.25">
      <c r="A17" t="s">
        <v>107</v>
      </c>
      <c r="B17" t="s">
        <v>134</v>
      </c>
      <c r="C17">
        <v>10</v>
      </c>
    </row>
    <row r="18" spans="1:3" x14ac:dyDescent="0.25">
      <c r="A18" t="s">
        <v>108</v>
      </c>
      <c r="B18" t="s">
        <v>135</v>
      </c>
      <c r="C18">
        <v>15</v>
      </c>
    </row>
    <row r="19" spans="1:3" x14ac:dyDescent="0.25">
      <c r="A19" t="s">
        <v>109</v>
      </c>
      <c r="B19" t="s">
        <v>136</v>
      </c>
      <c r="C19">
        <v>0</v>
      </c>
    </row>
    <row r="20" spans="1:3" x14ac:dyDescent="0.25">
      <c r="A20" t="s">
        <v>110</v>
      </c>
      <c r="B20" t="s">
        <v>137</v>
      </c>
      <c r="C20">
        <v>5</v>
      </c>
    </row>
    <row r="21" spans="1:3" x14ac:dyDescent="0.25">
      <c r="A21" t="s">
        <v>111</v>
      </c>
      <c r="B21" t="s">
        <v>138</v>
      </c>
      <c r="C21">
        <v>10</v>
      </c>
    </row>
    <row r="22" spans="1:3" x14ac:dyDescent="0.25">
      <c r="A22" t="s">
        <v>112</v>
      </c>
      <c r="B22" t="s">
        <v>139</v>
      </c>
      <c r="C22">
        <v>15</v>
      </c>
    </row>
    <row r="23" spans="1:3" x14ac:dyDescent="0.25">
      <c r="A23" t="s">
        <v>113</v>
      </c>
      <c r="B23" t="s">
        <v>140</v>
      </c>
      <c r="C23">
        <v>20</v>
      </c>
    </row>
  </sheetData>
  <sortState ref="A2:D31">
    <sortCondition ref="C28:C3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CAPURRO</vt:lpstr>
      <vt:lpstr>CÁLCULO</vt:lpstr>
      <vt:lpstr>Plan2</vt:lpstr>
      <vt:lpstr>Plan1</vt:lpstr>
      <vt:lpstr>A</vt:lpstr>
      <vt:lpstr>B</vt:lpstr>
      <vt:lpstr>Cab</vt:lpstr>
      <vt:lpstr>D</vt:lpstr>
      <vt:lpstr>E</vt:lpstr>
      <vt:lpstr>F</vt:lpstr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Julmar Cimidamore</dc:creator>
  <cp:lastModifiedBy>Marilia Alves Pereira</cp:lastModifiedBy>
  <dcterms:created xsi:type="dcterms:W3CDTF">2017-07-03T21:18:29Z</dcterms:created>
  <dcterms:modified xsi:type="dcterms:W3CDTF">2026-01-29T08:58:29Z</dcterms:modified>
</cp:coreProperties>
</file>